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technionmail-my.sharepoint.com/personal/kra_valeriia_campus_technion_ac_il/Documents/Desktop/LAB/WRITING/papers/biosensor_paper/analysis/scripts/"/>
    </mc:Choice>
  </mc:AlternateContent>
  <xr:revisionPtr revIDLastSave="105" documentId="8_{B487A4E9-83F7-40F5-AC65-12DF016C6DA6}" xr6:coauthVersionLast="47" xr6:coauthVersionMax="47" xr10:uidLastSave="{5CA56D31-A222-4ECC-93F1-14716F651EB9}"/>
  <bookViews>
    <workbookView xWindow="-120" yWindow="-120" windowWidth="29040" windowHeight="15720" xr2:uid="{6C668A4D-850D-44B7-B81F-F3B0A0099F9E}"/>
  </bookViews>
  <sheets>
    <sheet name="Butyrate" sheetId="1" r:id="rId1"/>
    <sheet name="Heme" sheetId="2" r:id="rId2"/>
    <sheet name="Lactate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" i="2" l="1"/>
  <c r="B4" i="3" l="1"/>
  <c r="B5" i="3"/>
  <c r="B6" i="3" s="1"/>
  <c r="B7" i="3" s="1"/>
  <c r="B8" i="3" s="1"/>
  <c r="B9" i="3" s="1"/>
  <c r="B10" i="3" s="1"/>
  <c r="B11" i="3" s="1"/>
  <c r="B12" i="3" s="1"/>
  <c r="B3" i="3"/>
  <c r="B3" i="2"/>
  <c r="B4" i="2" s="1"/>
  <c r="B5" i="2" s="1"/>
  <c r="B6" i="2" s="1"/>
  <c r="B7" i="2" s="1"/>
  <c r="B8" i="2" s="1"/>
  <c r="B9" i="2" s="1"/>
  <c r="B10" i="2" s="1"/>
  <c r="B11" i="2" s="1"/>
  <c r="B3" i="1"/>
  <c r="B4" i="1" s="1"/>
  <c r="B5" i="1" s="1"/>
  <c r="B6" i="1" s="1"/>
  <c r="B7" i="1" s="1"/>
  <c r="B8" i="1" s="1"/>
  <c r="B9" i="1" s="1"/>
  <c r="B10" i="1" s="1"/>
  <c r="B11" i="1" s="1"/>
  <c r="B12" i="1" s="1"/>
</calcChain>
</file>

<file path=xl/sharedStrings.xml><?xml version="1.0" encoding="utf-8"?>
<sst xmlns="http://schemas.openxmlformats.org/spreadsheetml/2006/main" count="47" uniqueCount="16">
  <si>
    <t>Butyrate concentration [mM]</t>
  </si>
  <si>
    <t>BD1</t>
  </si>
  <si>
    <t>BD2</t>
  </si>
  <si>
    <t>BD3</t>
  </si>
  <si>
    <t>BD4</t>
  </si>
  <si>
    <t>time [Hours]</t>
  </si>
  <si>
    <t>Heme concentration [uM]</t>
  </si>
  <si>
    <t>HD1</t>
  </si>
  <si>
    <t>HD2</t>
  </si>
  <si>
    <t>HD3</t>
  </si>
  <si>
    <t>Lactate concentration [mM]</t>
  </si>
  <si>
    <t>LD1</t>
  </si>
  <si>
    <t>LD2</t>
  </si>
  <si>
    <t>LD3</t>
  </si>
  <si>
    <t>LD4</t>
  </si>
  <si>
    <t>HD4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</si>
</sst>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0F636F-76C5-4922-AA94-A3B1A06D68D8}">
  <dimension ref="A1:R13"/>
  <sheetViews>
    <sheetView tabSelected="1" workbookViewId="0">
      <selection activeCell="J21" sqref="J21"/>
    </sheetView>
  </sheetViews>
  <sheetFormatPr defaultRowHeight="15" x14ac:dyDescent="0.25"/>
  <sheetData>
    <row r="1" spans="1:18" x14ac:dyDescent="0.25">
      <c r="A1" t="s">
        <v>5</v>
      </c>
      <c r="B1" t="s">
        <v>0</v>
      </c>
      <c r="C1" t="s">
        <v>1</v>
      </c>
      <c r="D1" t="s">
        <v>1</v>
      </c>
      <c r="E1" t="s">
        <v>1</v>
      </c>
      <c r="F1" t="s">
        <v>1</v>
      </c>
      <c r="G1" t="s">
        <v>2</v>
      </c>
      <c r="H1" t="s">
        <v>2</v>
      </c>
      <c r="I1" t="s">
        <v>2</v>
      </c>
      <c r="J1" t="s">
        <v>2</v>
      </c>
      <c r="K1" t="s">
        <v>3</v>
      </c>
      <c r="L1" t="s">
        <v>3</v>
      </c>
      <c r="M1" t="s">
        <v>3</v>
      </c>
      <c r="N1" t="s">
        <v>3</v>
      </c>
      <c r="O1" t="s">
        <v>4</v>
      </c>
      <c r="P1" t="s">
        <v>4</v>
      </c>
      <c r="Q1" t="s">
        <v>4</v>
      </c>
      <c r="R1" t="s">
        <v>4</v>
      </c>
    </row>
    <row r="2" spans="1:18" x14ac:dyDescent="0.25">
      <c r="A2">
        <v>21</v>
      </c>
      <c r="B2">
        <v>100</v>
      </c>
      <c r="C2">
        <v>246763.2</v>
      </c>
      <c r="D2">
        <v>177277.8</v>
      </c>
      <c r="E2">
        <v>205604</v>
      </c>
      <c r="F2">
        <v>266236.3</v>
      </c>
      <c r="G2">
        <v>71636.2</v>
      </c>
      <c r="H2">
        <v>74073.2</v>
      </c>
      <c r="I2">
        <v>76755.199999999997</v>
      </c>
      <c r="J2">
        <v>86074.9</v>
      </c>
      <c r="K2">
        <v>3976.3</v>
      </c>
      <c r="L2">
        <v>4086.1</v>
      </c>
      <c r="M2">
        <v>5644.8</v>
      </c>
      <c r="N2">
        <v>3896.5</v>
      </c>
      <c r="O2">
        <v>1110.0999999999999</v>
      </c>
      <c r="P2">
        <v>1334.9</v>
      </c>
      <c r="Q2">
        <v>1005.4</v>
      </c>
      <c r="R2">
        <v>1401.3</v>
      </c>
    </row>
    <row r="3" spans="1:18" x14ac:dyDescent="0.25">
      <c r="A3">
        <v>21</v>
      </c>
      <c r="B3">
        <f>B2/2</f>
        <v>50</v>
      </c>
      <c r="C3">
        <v>95369.8</v>
      </c>
      <c r="D3">
        <v>51373.3</v>
      </c>
      <c r="E3">
        <v>61523.4</v>
      </c>
      <c r="F3">
        <v>125634.2</v>
      </c>
      <c r="G3">
        <v>38567.599999999999</v>
      </c>
      <c r="H3">
        <v>35029</v>
      </c>
      <c r="I3">
        <v>37103.199999999997</v>
      </c>
      <c r="J3">
        <v>34684.699999999997</v>
      </c>
      <c r="K3">
        <v>12748.6</v>
      </c>
      <c r="L3">
        <v>8224.7999999999993</v>
      </c>
      <c r="M3">
        <v>5707.3</v>
      </c>
      <c r="N3">
        <v>8229.7000000000007</v>
      </c>
      <c r="O3">
        <v>1701.7</v>
      </c>
      <c r="P3">
        <v>1743.9</v>
      </c>
      <c r="Q3">
        <v>1584.4</v>
      </c>
      <c r="R3">
        <v>1800.8</v>
      </c>
    </row>
    <row r="4" spans="1:18" x14ac:dyDescent="0.25">
      <c r="A4">
        <v>21</v>
      </c>
      <c r="B4">
        <f t="shared" ref="B4:B12" si="0">B3/2</f>
        <v>25</v>
      </c>
      <c r="C4">
        <v>70419.399999999994</v>
      </c>
      <c r="D4">
        <v>30415.4</v>
      </c>
      <c r="E4">
        <v>38251.599999999999</v>
      </c>
      <c r="F4">
        <v>91789.9</v>
      </c>
      <c r="G4">
        <v>20874.400000000001</v>
      </c>
      <c r="H4">
        <v>15456.2</v>
      </c>
      <c r="I4">
        <v>17199.900000000001</v>
      </c>
      <c r="J4">
        <v>15591.4</v>
      </c>
      <c r="K4">
        <v>31865.200000000001</v>
      </c>
      <c r="L4">
        <v>25804.799999999999</v>
      </c>
      <c r="M4">
        <v>18613.8</v>
      </c>
      <c r="N4">
        <v>21095.8</v>
      </c>
      <c r="O4">
        <v>4485</v>
      </c>
      <c r="P4">
        <v>5274.5</v>
      </c>
      <c r="Q4">
        <v>2118.5</v>
      </c>
      <c r="R4">
        <v>8052.6</v>
      </c>
    </row>
    <row r="5" spans="1:18" x14ac:dyDescent="0.25">
      <c r="A5">
        <v>21</v>
      </c>
      <c r="B5">
        <f t="shared" si="0"/>
        <v>12.5</v>
      </c>
      <c r="C5">
        <v>53948.4</v>
      </c>
      <c r="D5">
        <v>21264.1</v>
      </c>
      <c r="E5">
        <v>28224.6</v>
      </c>
      <c r="F5">
        <v>65958.7</v>
      </c>
      <c r="G5">
        <v>11771.1</v>
      </c>
      <c r="H5">
        <v>10088</v>
      </c>
      <c r="I5">
        <v>10377.4</v>
      </c>
      <c r="J5">
        <v>9958.2000000000007</v>
      </c>
      <c r="K5">
        <v>64370.400000000001</v>
      </c>
      <c r="L5">
        <v>51543.6</v>
      </c>
      <c r="M5">
        <v>49787.6</v>
      </c>
      <c r="N5">
        <v>44068</v>
      </c>
      <c r="O5">
        <v>17753.900000000001</v>
      </c>
      <c r="P5">
        <v>19649.599999999999</v>
      </c>
      <c r="Q5">
        <v>12253.2</v>
      </c>
      <c r="R5">
        <v>23106.7</v>
      </c>
    </row>
    <row r="6" spans="1:18" x14ac:dyDescent="0.25">
      <c r="A6">
        <v>21</v>
      </c>
      <c r="B6">
        <f t="shared" si="0"/>
        <v>6.25</v>
      </c>
      <c r="C6">
        <v>31628.7</v>
      </c>
      <c r="D6">
        <v>13144.9</v>
      </c>
      <c r="E6">
        <v>19071.599999999999</v>
      </c>
      <c r="F6">
        <v>45698.6</v>
      </c>
      <c r="G6">
        <v>8383</v>
      </c>
      <c r="H6">
        <v>7198.5</v>
      </c>
      <c r="I6">
        <v>7603.8</v>
      </c>
      <c r="J6">
        <v>7409</v>
      </c>
      <c r="K6">
        <v>130786.2</v>
      </c>
      <c r="L6">
        <v>102584.6</v>
      </c>
      <c r="M6">
        <v>116827.1</v>
      </c>
      <c r="N6">
        <v>79099.100000000006</v>
      </c>
      <c r="O6">
        <v>48359.1</v>
      </c>
      <c r="P6">
        <v>45371.6</v>
      </c>
      <c r="Q6">
        <v>35341.1</v>
      </c>
      <c r="R6">
        <v>47260.1</v>
      </c>
    </row>
    <row r="7" spans="1:18" x14ac:dyDescent="0.25">
      <c r="A7">
        <v>21</v>
      </c>
      <c r="B7">
        <f t="shared" si="0"/>
        <v>3.125</v>
      </c>
      <c r="C7">
        <v>21170.400000000001</v>
      </c>
      <c r="D7">
        <v>9095.1</v>
      </c>
      <c r="E7">
        <v>12521.8</v>
      </c>
      <c r="F7">
        <v>26574.7</v>
      </c>
      <c r="G7">
        <v>7102.1</v>
      </c>
      <c r="H7">
        <v>6814.4</v>
      </c>
      <c r="I7">
        <v>5261.9</v>
      </c>
      <c r="J7">
        <v>6543.7</v>
      </c>
      <c r="K7">
        <v>195221.2</v>
      </c>
      <c r="L7">
        <v>138052.70000000001</v>
      </c>
      <c r="M7">
        <v>182740.7</v>
      </c>
      <c r="N7">
        <v>118136.9</v>
      </c>
      <c r="O7">
        <v>87472.2</v>
      </c>
      <c r="P7">
        <v>82942.399999999994</v>
      </c>
      <c r="Q7">
        <v>67995</v>
      </c>
      <c r="R7">
        <v>80614.5</v>
      </c>
    </row>
    <row r="8" spans="1:18" x14ac:dyDescent="0.25">
      <c r="A8">
        <v>21</v>
      </c>
      <c r="B8">
        <f t="shared" si="0"/>
        <v>1.5625</v>
      </c>
      <c r="C8">
        <v>17334.599999999999</v>
      </c>
      <c r="D8">
        <v>7497.5</v>
      </c>
      <c r="E8">
        <v>11231.6</v>
      </c>
      <c r="F8">
        <v>23098.1</v>
      </c>
      <c r="G8">
        <v>6680.6</v>
      </c>
      <c r="H8">
        <v>7174.3</v>
      </c>
      <c r="I8">
        <v>4412.6000000000004</v>
      </c>
      <c r="J8">
        <v>6500.6</v>
      </c>
      <c r="K8">
        <v>255758.9</v>
      </c>
      <c r="L8">
        <v>172199.2</v>
      </c>
      <c r="M8">
        <v>237978.3</v>
      </c>
      <c r="N8">
        <v>155094.29999999999</v>
      </c>
      <c r="O8">
        <v>104743.6</v>
      </c>
      <c r="P8">
        <v>109983.1</v>
      </c>
      <c r="Q8">
        <v>101859.3</v>
      </c>
      <c r="R8">
        <v>104432.9</v>
      </c>
    </row>
    <row r="9" spans="1:18" x14ac:dyDescent="0.25">
      <c r="A9">
        <v>21</v>
      </c>
      <c r="B9">
        <f t="shared" si="0"/>
        <v>0.78125</v>
      </c>
      <c r="C9">
        <v>12812.7</v>
      </c>
      <c r="D9">
        <v>6338.9</v>
      </c>
      <c r="E9">
        <v>10490</v>
      </c>
      <c r="F9">
        <v>20098.8</v>
      </c>
      <c r="G9">
        <v>7068</v>
      </c>
      <c r="H9">
        <v>6544.5</v>
      </c>
      <c r="I9">
        <v>6679</v>
      </c>
      <c r="J9">
        <v>6686.2</v>
      </c>
      <c r="K9">
        <v>274263.2</v>
      </c>
      <c r="L9">
        <v>188941.6</v>
      </c>
      <c r="M9">
        <v>275668.3</v>
      </c>
      <c r="N9">
        <v>174177.7</v>
      </c>
      <c r="O9">
        <v>138382.79999999999</v>
      </c>
      <c r="P9">
        <v>127327.8</v>
      </c>
      <c r="Q9">
        <v>121986.7</v>
      </c>
      <c r="R9">
        <v>128260</v>
      </c>
    </row>
    <row r="10" spans="1:18" x14ac:dyDescent="0.25">
      <c r="A10">
        <v>21</v>
      </c>
      <c r="B10">
        <f t="shared" si="0"/>
        <v>0.390625</v>
      </c>
      <c r="C10">
        <v>13722.2</v>
      </c>
      <c r="D10">
        <v>6003.8</v>
      </c>
      <c r="E10">
        <v>8724.1</v>
      </c>
      <c r="F10">
        <v>18328</v>
      </c>
      <c r="G10">
        <v>6919.5</v>
      </c>
      <c r="H10">
        <v>6510.1</v>
      </c>
      <c r="I10">
        <v>6465.7</v>
      </c>
      <c r="J10">
        <v>6295.4</v>
      </c>
      <c r="K10">
        <v>282341</v>
      </c>
      <c r="L10">
        <v>200249.3</v>
      </c>
      <c r="M10">
        <v>294747.5</v>
      </c>
      <c r="N10">
        <v>155828.70000000001</v>
      </c>
      <c r="O10">
        <v>149642.70000000001</v>
      </c>
      <c r="P10">
        <v>139921.79999999999</v>
      </c>
      <c r="Q10">
        <v>135049.29999999999</v>
      </c>
      <c r="R10">
        <v>137590.29999999999</v>
      </c>
    </row>
    <row r="11" spans="1:18" x14ac:dyDescent="0.25">
      <c r="A11">
        <v>21</v>
      </c>
      <c r="B11">
        <f t="shared" si="0"/>
        <v>0.1953125</v>
      </c>
      <c r="C11">
        <v>17022.900000000001</v>
      </c>
      <c r="D11">
        <v>5679.8</v>
      </c>
      <c r="E11">
        <v>8828.4</v>
      </c>
      <c r="F11">
        <v>20978.6</v>
      </c>
      <c r="G11">
        <v>5964.2</v>
      </c>
      <c r="H11">
        <v>6589.2</v>
      </c>
      <c r="I11">
        <v>6601.2</v>
      </c>
      <c r="J11">
        <v>6676.7</v>
      </c>
      <c r="K11">
        <v>268094.3</v>
      </c>
      <c r="L11">
        <v>205843.5</v>
      </c>
      <c r="M11">
        <v>297303.40000000002</v>
      </c>
      <c r="N11">
        <v>152229.70000000001</v>
      </c>
      <c r="O11">
        <v>166456.5</v>
      </c>
      <c r="P11">
        <v>148595.29999999999</v>
      </c>
      <c r="Q11">
        <v>143073.20000000001</v>
      </c>
      <c r="R11">
        <v>143285.70000000001</v>
      </c>
    </row>
    <row r="12" spans="1:18" x14ac:dyDescent="0.25">
      <c r="A12">
        <v>21</v>
      </c>
      <c r="B12">
        <f t="shared" si="0"/>
        <v>9.765625E-2</v>
      </c>
      <c r="C12">
        <v>13870.7</v>
      </c>
      <c r="D12">
        <v>5286.4</v>
      </c>
      <c r="E12">
        <v>8009.4</v>
      </c>
      <c r="F12">
        <v>15650.9</v>
      </c>
      <c r="G12">
        <v>6537.2</v>
      </c>
      <c r="H12">
        <v>6536.8</v>
      </c>
      <c r="I12">
        <v>6488.6</v>
      </c>
      <c r="J12">
        <v>6852.6</v>
      </c>
      <c r="K12">
        <v>304133.40000000002</v>
      </c>
      <c r="L12">
        <v>219347.7</v>
      </c>
      <c r="M12">
        <v>294955.7</v>
      </c>
      <c r="N12">
        <v>168618.2</v>
      </c>
      <c r="O12">
        <v>173945.9</v>
      </c>
      <c r="P12">
        <v>151680.6</v>
      </c>
      <c r="Q12">
        <v>155792.6</v>
      </c>
      <c r="R12">
        <v>143009.20000000001</v>
      </c>
    </row>
    <row r="13" spans="1:18" x14ac:dyDescent="0.25">
      <c r="A13">
        <v>21</v>
      </c>
      <c r="B13">
        <v>0</v>
      </c>
      <c r="C13">
        <v>13984</v>
      </c>
      <c r="D13">
        <v>5936.1</v>
      </c>
      <c r="E13">
        <v>9178.7000000000007</v>
      </c>
      <c r="F13">
        <v>15183.3</v>
      </c>
      <c r="G13">
        <v>5718.9</v>
      </c>
      <c r="H13">
        <v>5131.8999999999996</v>
      </c>
      <c r="I13">
        <v>5065.5</v>
      </c>
      <c r="J13">
        <v>5694.9</v>
      </c>
      <c r="K13">
        <v>335721.9</v>
      </c>
      <c r="L13">
        <v>232152.6</v>
      </c>
      <c r="M13">
        <v>323121.09999999998</v>
      </c>
      <c r="N13">
        <v>195605.6</v>
      </c>
      <c r="O13">
        <v>140555.5</v>
      </c>
      <c r="P13">
        <v>148854.29999999999</v>
      </c>
      <c r="Q13">
        <v>149449.1</v>
      </c>
      <c r="R13">
        <v>135875.20000000001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B3F763-0CC9-4DC1-8620-14EA4646B16A}">
  <dimension ref="A1:N12"/>
  <sheetViews>
    <sheetView workbookViewId="0">
      <selection activeCell="K24" sqref="K24"/>
    </sheetView>
  </sheetViews>
  <sheetFormatPr defaultRowHeight="15" x14ac:dyDescent="0.25"/>
  <sheetData>
    <row r="1" spans="1:14" x14ac:dyDescent="0.25">
      <c r="A1" t="s">
        <v>5</v>
      </c>
      <c r="B1" t="s">
        <v>6</v>
      </c>
      <c r="C1" t="s">
        <v>7</v>
      </c>
      <c r="D1" t="s">
        <v>7</v>
      </c>
      <c r="E1" t="s">
        <v>7</v>
      </c>
      <c r="F1" t="s">
        <v>8</v>
      </c>
      <c r="G1" t="s">
        <v>8</v>
      </c>
      <c r="H1" t="s">
        <v>8</v>
      </c>
      <c r="I1" t="s">
        <v>9</v>
      </c>
      <c r="J1" t="s">
        <v>9</v>
      </c>
      <c r="K1" t="s">
        <v>9</v>
      </c>
      <c r="L1" t="s">
        <v>15</v>
      </c>
      <c r="M1" t="s">
        <v>15</v>
      </c>
      <c r="N1" t="s">
        <v>15</v>
      </c>
    </row>
    <row r="2" spans="1:14" x14ac:dyDescent="0.25">
      <c r="A2">
        <v>21</v>
      </c>
      <c r="B2">
        <f>12.5</f>
        <v>12.5</v>
      </c>
      <c r="C2">
        <v>121324.7</v>
      </c>
      <c r="D2">
        <v>88398.9</v>
      </c>
      <c r="E2">
        <v>122003.8</v>
      </c>
      <c r="F2">
        <v>5634.7</v>
      </c>
      <c r="G2">
        <v>4345.2</v>
      </c>
      <c r="H2">
        <v>4862.6000000000004</v>
      </c>
      <c r="I2">
        <v>2085.1</v>
      </c>
      <c r="J2">
        <v>1541.3</v>
      </c>
      <c r="K2">
        <v>1581.6</v>
      </c>
      <c r="L2">
        <v>1532296.4</v>
      </c>
      <c r="M2">
        <v>1791923.8</v>
      </c>
      <c r="N2">
        <v>1379226.8</v>
      </c>
    </row>
    <row r="3" spans="1:14" x14ac:dyDescent="0.25">
      <c r="A3">
        <v>21</v>
      </c>
      <c r="B3">
        <f t="shared" ref="B3:B11" si="0">B2/2</f>
        <v>6.25</v>
      </c>
      <c r="C3">
        <v>110705.60000000001</v>
      </c>
      <c r="D3">
        <v>94375.5</v>
      </c>
      <c r="E3">
        <v>104958.5</v>
      </c>
      <c r="F3">
        <v>188821.2</v>
      </c>
      <c r="G3">
        <v>54462.7</v>
      </c>
      <c r="H3">
        <v>71563</v>
      </c>
      <c r="I3">
        <v>3044.2</v>
      </c>
      <c r="J3">
        <v>3107.5</v>
      </c>
      <c r="K3">
        <v>10085.5</v>
      </c>
      <c r="L3">
        <v>1429818.8</v>
      </c>
      <c r="M3">
        <v>1284843.3</v>
      </c>
      <c r="N3">
        <v>1249186.8999999999</v>
      </c>
    </row>
    <row r="4" spans="1:14" x14ac:dyDescent="0.25">
      <c r="A4">
        <v>21</v>
      </c>
      <c r="B4">
        <f t="shared" si="0"/>
        <v>3.125</v>
      </c>
      <c r="C4">
        <v>47284.1</v>
      </c>
      <c r="D4">
        <v>22057.8</v>
      </c>
      <c r="E4">
        <v>47870.400000000001</v>
      </c>
      <c r="F4">
        <v>1882345</v>
      </c>
      <c r="G4">
        <v>1776307.5</v>
      </c>
      <c r="H4">
        <v>1454665.8</v>
      </c>
      <c r="I4">
        <v>14033.3</v>
      </c>
      <c r="J4">
        <v>44690.7</v>
      </c>
      <c r="K4">
        <v>60011.8</v>
      </c>
      <c r="L4">
        <v>1539072.8</v>
      </c>
      <c r="M4">
        <v>1436120.8</v>
      </c>
      <c r="N4">
        <v>1096566.1000000001</v>
      </c>
    </row>
    <row r="5" spans="1:14" x14ac:dyDescent="0.25">
      <c r="A5">
        <v>21</v>
      </c>
      <c r="B5">
        <f t="shared" si="0"/>
        <v>1.5625</v>
      </c>
      <c r="C5">
        <v>14505.3</v>
      </c>
      <c r="D5">
        <v>11141.9</v>
      </c>
      <c r="E5">
        <v>15042.1</v>
      </c>
      <c r="F5">
        <v>2178448.5</v>
      </c>
      <c r="G5">
        <v>2317690.7999999998</v>
      </c>
      <c r="H5">
        <v>2255317.7999999998</v>
      </c>
      <c r="I5">
        <v>37415.800000000003</v>
      </c>
      <c r="J5">
        <v>59611.8</v>
      </c>
      <c r="K5">
        <v>74717.8</v>
      </c>
      <c r="L5">
        <v>1349415.3</v>
      </c>
      <c r="M5">
        <v>1645780.4</v>
      </c>
      <c r="N5">
        <v>1040447.9</v>
      </c>
    </row>
    <row r="6" spans="1:14" x14ac:dyDescent="0.25">
      <c r="A6">
        <v>21</v>
      </c>
      <c r="B6">
        <f t="shared" si="0"/>
        <v>0.78125</v>
      </c>
      <c r="C6">
        <v>6299.4</v>
      </c>
      <c r="D6">
        <v>7075.2</v>
      </c>
      <c r="E6">
        <v>8008.8</v>
      </c>
      <c r="F6">
        <v>2039061</v>
      </c>
      <c r="G6">
        <v>2241782.5</v>
      </c>
      <c r="H6">
        <v>2216006.2999999998</v>
      </c>
      <c r="I6">
        <v>48309.2</v>
      </c>
      <c r="J6">
        <v>56879.1</v>
      </c>
      <c r="K6">
        <v>58476.9</v>
      </c>
      <c r="L6">
        <v>1598269</v>
      </c>
      <c r="M6">
        <v>1409080.5</v>
      </c>
      <c r="N6">
        <v>1053327.5</v>
      </c>
    </row>
    <row r="7" spans="1:14" x14ac:dyDescent="0.25">
      <c r="A7">
        <v>21</v>
      </c>
      <c r="B7">
        <f t="shared" si="0"/>
        <v>0.390625</v>
      </c>
      <c r="C7">
        <v>5156.3999999999996</v>
      </c>
      <c r="D7">
        <v>4162.1000000000004</v>
      </c>
      <c r="E7">
        <v>5283.6</v>
      </c>
      <c r="F7">
        <v>1979698.5</v>
      </c>
      <c r="G7">
        <v>1963434.6</v>
      </c>
      <c r="H7">
        <v>2092435.8</v>
      </c>
      <c r="I7">
        <v>43700.3</v>
      </c>
      <c r="J7">
        <v>53438.8</v>
      </c>
      <c r="K7">
        <v>63905.7</v>
      </c>
      <c r="L7">
        <v>1309875</v>
      </c>
      <c r="M7">
        <v>1372574.5</v>
      </c>
      <c r="N7">
        <v>1090450.3</v>
      </c>
    </row>
    <row r="8" spans="1:14" x14ac:dyDescent="0.25">
      <c r="A8">
        <v>21</v>
      </c>
      <c r="B8">
        <f t="shared" si="0"/>
        <v>0.1953125</v>
      </c>
      <c r="F8">
        <v>1966683.3</v>
      </c>
      <c r="G8">
        <v>1831954.3</v>
      </c>
      <c r="H8">
        <v>2046865.8</v>
      </c>
      <c r="I8">
        <v>33662</v>
      </c>
      <c r="J8">
        <v>54716.800000000003</v>
      </c>
      <c r="K8">
        <v>57927.4</v>
      </c>
      <c r="L8">
        <v>1239502.3999999999</v>
      </c>
      <c r="M8">
        <v>1218596.3</v>
      </c>
      <c r="N8">
        <v>1341115.3999999999</v>
      </c>
    </row>
    <row r="9" spans="1:14" x14ac:dyDescent="0.25">
      <c r="A9">
        <v>21</v>
      </c>
      <c r="B9">
        <f t="shared" si="0"/>
        <v>9.765625E-2</v>
      </c>
      <c r="F9">
        <v>1891967.6</v>
      </c>
      <c r="G9">
        <v>1761816.6</v>
      </c>
      <c r="H9">
        <v>1964117.5</v>
      </c>
      <c r="I9">
        <v>37800.400000000001</v>
      </c>
      <c r="J9">
        <v>53635.5</v>
      </c>
      <c r="K9">
        <v>59212.6</v>
      </c>
      <c r="L9">
        <v>1266780.3999999999</v>
      </c>
      <c r="M9">
        <v>1384035</v>
      </c>
      <c r="N9">
        <v>1585017.8</v>
      </c>
    </row>
    <row r="10" spans="1:14" x14ac:dyDescent="0.25">
      <c r="A10">
        <v>21</v>
      </c>
      <c r="B10">
        <f t="shared" si="0"/>
        <v>4.8828125E-2</v>
      </c>
      <c r="F10">
        <v>1889621.5</v>
      </c>
      <c r="G10">
        <v>1631930.4</v>
      </c>
      <c r="H10">
        <v>1863518.8</v>
      </c>
      <c r="I10">
        <v>40132.6</v>
      </c>
      <c r="J10">
        <v>47691.6</v>
      </c>
      <c r="K10">
        <v>59305.1</v>
      </c>
      <c r="L10">
        <v>1016991.5</v>
      </c>
      <c r="M10">
        <v>1103399.8999999999</v>
      </c>
      <c r="N10">
        <v>1240281.5</v>
      </c>
    </row>
    <row r="11" spans="1:14" x14ac:dyDescent="0.25">
      <c r="A11">
        <v>21</v>
      </c>
      <c r="B11">
        <f t="shared" si="0"/>
        <v>2.44140625E-2</v>
      </c>
      <c r="F11">
        <v>1918858.1</v>
      </c>
      <c r="G11">
        <v>1614528.8</v>
      </c>
      <c r="H11">
        <v>1797102.8</v>
      </c>
      <c r="I11">
        <v>47570.400000000001</v>
      </c>
      <c r="J11">
        <v>44726</v>
      </c>
      <c r="K11">
        <v>57684.1</v>
      </c>
      <c r="L11">
        <v>1069776</v>
      </c>
      <c r="M11">
        <v>913952.2</v>
      </c>
      <c r="N11">
        <v>1081528.3</v>
      </c>
    </row>
    <row r="12" spans="1:14" x14ac:dyDescent="0.25">
      <c r="A12">
        <v>21</v>
      </c>
      <c r="B12">
        <v>0</v>
      </c>
      <c r="C12">
        <v>3636.1</v>
      </c>
      <c r="D12">
        <v>3008.7</v>
      </c>
      <c r="E12">
        <v>3605.7</v>
      </c>
      <c r="F12">
        <v>1665288.3</v>
      </c>
      <c r="G12">
        <v>1213438.1000000001</v>
      </c>
      <c r="H12">
        <v>1311382.6000000001</v>
      </c>
      <c r="I12">
        <v>41996.1</v>
      </c>
      <c r="J12">
        <v>38092.5</v>
      </c>
      <c r="K12">
        <v>52417</v>
      </c>
      <c r="L12">
        <v>1082596.6000000001</v>
      </c>
      <c r="M12">
        <v>686617.8</v>
      </c>
      <c r="N12">
        <v>664068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FD662C-4C09-43DB-94CD-8B2CBB85A20D}">
  <dimension ref="A1:O13"/>
  <sheetViews>
    <sheetView workbookViewId="0">
      <selection activeCell="L3" sqref="L3"/>
    </sheetView>
  </sheetViews>
  <sheetFormatPr defaultRowHeight="15" x14ac:dyDescent="0.25"/>
  <sheetData>
    <row r="1" spans="1:15" x14ac:dyDescent="0.25">
      <c r="A1" t="s">
        <v>5</v>
      </c>
      <c r="B1" t="s">
        <v>10</v>
      </c>
      <c r="C1" t="s">
        <v>11</v>
      </c>
      <c r="D1" t="s">
        <v>11</v>
      </c>
      <c r="E1" t="s">
        <v>11</v>
      </c>
      <c r="F1" t="s">
        <v>12</v>
      </c>
      <c r="G1" t="s">
        <v>12</v>
      </c>
      <c r="H1" t="s">
        <v>12</v>
      </c>
      <c r="I1" t="s">
        <v>12</v>
      </c>
      <c r="J1" t="s">
        <v>13</v>
      </c>
      <c r="K1" t="s">
        <v>13</v>
      </c>
      <c r="L1" t="s">
        <v>13</v>
      </c>
      <c r="M1" t="s">
        <v>14</v>
      </c>
      <c r="N1" t="s">
        <v>14</v>
      </c>
      <c r="O1" t="s">
        <v>14</v>
      </c>
    </row>
    <row r="2" spans="1:15" x14ac:dyDescent="0.25">
      <c r="A2">
        <v>21</v>
      </c>
      <c r="B2">
        <v>200</v>
      </c>
      <c r="C2">
        <v>1007649.8</v>
      </c>
      <c r="D2">
        <v>1105307.8</v>
      </c>
      <c r="E2">
        <v>1058684.3</v>
      </c>
    </row>
    <row r="3" spans="1:15" x14ac:dyDescent="0.25">
      <c r="A3">
        <v>21</v>
      </c>
      <c r="B3">
        <f>B2/2</f>
        <v>100</v>
      </c>
      <c r="C3">
        <v>1062252.5</v>
      </c>
      <c r="D3">
        <v>1106748.8</v>
      </c>
      <c r="E3">
        <v>1061803.8999999999</v>
      </c>
      <c r="F3">
        <v>121272</v>
      </c>
      <c r="G3">
        <v>164066.5</v>
      </c>
      <c r="H3">
        <v>215995.8</v>
      </c>
      <c r="I3">
        <v>162501.4</v>
      </c>
      <c r="J3">
        <v>132041.79999999999</v>
      </c>
      <c r="K3">
        <v>210351.3</v>
      </c>
      <c r="L3">
        <v>142410.4</v>
      </c>
      <c r="M3">
        <v>585932.1</v>
      </c>
      <c r="N3">
        <v>946286.8</v>
      </c>
      <c r="O3">
        <v>579654.1</v>
      </c>
    </row>
    <row r="4" spans="1:15" x14ac:dyDescent="0.25">
      <c r="A4">
        <v>21</v>
      </c>
      <c r="B4">
        <f t="shared" ref="B4:B12" si="0">B3/2</f>
        <v>50</v>
      </c>
      <c r="C4">
        <v>852901.3</v>
      </c>
      <c r="D4">
        <v>938382</v>
      </c>
      <c r="E4">
        <v>893242.9</v>
      </c>
      <c r="F4">
        <v>149872</v>
      </c>
      <c r="G4">
        <v>142220.5</v>
      </c>
      <c r="H4">
        <v>159653.5</v>
      </c>
      <c r="I4">
        <v>122891.3</v>
      </c>
      <c r="J4">
        <v>123797.3</v>
      </c>
      <c r="K4">
        <v>173870</v>
      </c>
      <c r="L4">
        <v>139373.9</v>
      </c>
      <c r="M4">
        <v>603701.9</v>
      </c>
      <c r="N4">
        <v>859834.1</v>
      </c>
      <c r="O4">
        <v>612514.80000000005</v>
      </c>
    </row>
    <row r="5" spans="1:15" x14ac:dyDescent="0.25">
      <c r="A5">
        <v>21</v>
      </c>
      <c r="B5">
        <f t="shared" si="0"/>
        <v>25</v>
      </c>
      <c r="C5">
        <v>622954.9</v>
      </c>
      <c r="D5">
        <v>679034.5</v>
      </c>
      <c r="E5">
        <v>627523.69999999995</v>
      </c>
      <c r="F5">
        <v>164662.20000000001</v>
      </c>
      <c r="G5">
        <v>126828.5</v>
      </c>
      <c r="H5">
        <v>126478.6</v>
      </c>
      <c r="I5">
        <v>93819.5</v>
      </c>
      <c r="J5">
        <v>187497.1</v>
      </c>
      <c r="K5">
        <v>260077.5</v>
      </c>
      <c r="L5">
        <v>209220.1</v>
      </c>
      <c r="M5">
        <v>498259.4</v>
      </c>
      <c r="N5">
        <v>780381.8</v>
      </c>
      <c r="O5">
        <v>498516</v>
      </c>
    </row>
    <row r="6" spans="1:15" x14ac:dyDescent="0.25">
      <c r="A6">
        <v>21</v>
      </c>
      <c r="B6">
        <f t="shared" si="0"/>
        <v>12.5</v>
      </c>
      <c r="C6">
        <v>426966.6</v>
      </c>
      <c r="D6">
        <v>439777.8</v>
      </c>
      <c r="E6">
        <v>458155.9</v>
      </c>
      <c r="F6">
        <v>256649.5</v>
      </c>
      <c r="G6">
        <v>252989.4</v>
      </c>
      <c r="H6">
        <v>184452.5</v>
      </c>
      <c r="I6">
        <v>132885</v>
      </c>
      <c r="J6">
        <v>311024.5</v>
      </c>
      <c r="K6">
        <v>407049.9</v>
      </c>
      <c r="L6">
        <v>272400.7</v>
      </c>
      <c r="M6">
        <v>387578.7</v>
      </c>
      <c r="N6">
        <v>441043.1</v>
      </c>
      <c r="O6">
        <v>438382.7</v>
      </c>
    </row>
    <row r="7" spans="1:15" x14ac:dyDescent="0.25">
      <c r="A7">
        <v>21</v>
      </c>
      <c r="B7">
        <f t="shared" si="0"/>
        <v>6.25</v>
      </c>
      <c r="C7">
        <v>299394.40000000002</v>
      </c>
      <c r="D7">
        <v>335882.1</v>
      </c>
      <c r="E7">
        <v>331030.8</v>
      </c>
      <c r="F7">
        <v>490313.8</v>
      </c>
      <c r="G7">
        <v>464444.2</v>
      </c>
      <c r="H7">
        <v>381958.3</v>
      </c>
      <c r="I7">
        <v>292319.40000000002</v>
      </c>
      <c r="J7">
        <v>402363.1</v>
      </c>
      <c r="K7">
        <v>518035.8</v>
      </c>
      <c r="L7">
        <v>353810.1</v>
      </c>
      <c r="M7">
        <v>393828.4</v>
      </c>
      <c r="N7">
        <v>568694.5</v>
      </c>
      <c r="O7">
        <v>397877.9</v>
      </c>
    </row>
    <row r="8" spans="1:15" x14ac:dyDescent="0.25">
      <c r="A8">
        <v>21</v>
      </c>
      <c r="B8">
        <f t="shared" si="0"/>
        <v>3.125</v>
      </c>
      <c r="C8">
        <v>212949.7</v>
      </c>
      <c r="D8">
        <v>256023.4</v>
      </c>
      <c r="E8">
        <v>264398.5</v>
      </c>
      <c r="F8">
        <v>797803</v>
      </c>
      <c r="G8">
        <v>709759</v>
      </c>
      <c r="H8">
        <v>761284.2</v>
      </c>
      <c r="I8">
        <v>499472.7</v>
      </c>
      <c r="J8">
        <v>496426.4</v>
      </c>
      <c r="K8">
        <v>588787.9</v>
      </c>
      <c r="L8">
        <v>425722.2</v>
      </c>
      <c r="M8">
        <v>368119.8</v>
      </c>
      <c r="N8">
        <v>446002.3</v>
      </c>
      <c r="O8">
        <v>364035.2</v>
      </c>
    </row>
    <row r="9" spans="1:15" x14ac:dyDescent="0.25">
      <c r="A9">
        <v>21</v>
      </c>
      <c r="B9">
        <f t="shared" si="0"/>
        <v>1.5625</v>
      </c>
      <c r="C9">
        <v>151274.79999999999</v>
      </c>
      <c r="D9">
        <v>205883.4</v>
      </c>
      <c r="E9">
        <v>210666.8</v>
      </c>
      <c r="F9">
        <v>1060721.6000000001</v>
      </c>
      <c r="G9">
        <v>1032918</v>
      </c>
      <c r="H9">
        <v>1094314</v>
      </c>
      <c r="I9">
        <v>721269.7</v>
      </c>
      <c r="J9">
        <v>597494.30000000005</v>
      </c>
      <c r="K9">
        <v>691626.7</v>
      </c>
      <c r="L9">
        <v>659294</v>
      </c>
      <c r="M9">
        <v>323142.7</v>
      </c>
      <c r="N9">
        <v>284402.40000000002</v>
      </c>
      <c r="O9">
        <v>293722.40000000002</v>
      </c>
    </row>
    <row r="10" spans="1:15" x14ac:dyDescent="0.25">
      <c r="A10">
        <v>21</v>
      </c>
      <c r="B10">
        <f t="shared" si="0"/>
        <v>0.78125</v>
      </c>
      <c r="C10">
        <v>139269.29999999999</v>
      </c>
      <c r="D10">
        <v>158546.79999999999</v>
      </c>
      <c r="E10">
        <v>178154</v>
      </c>
      <c r="F10">
        <v>1411652</v>
      </c>
      <c r="G10">
        <v>1300155.8</v>
      </c>
      <c r="H10">
        <v>1176078</v>
      </c>
      <c r="I10">
        <v>1103539.5</v>
      </c>
      <c r="J10">
        <v>755078.6</v>
      </c>
      <c r="K10">
        <v>776296.2</v>
      </c>
      <c r="L10">
        <v>645015.9</v>
      </c>
      <c r="M10">
        <v>290187.09999999998</v>
      </c>
      <c r="N10">
        <v>220421.3</v>
      </c>
      <c r="O10">
        <v>262910.09999999998</v>
      </c>
    </row>
    <row r="11" spans="1:15" x14ac:dyDescent="0.25">
      <c r="A11">
        <v>21</v>
      </c>
      <c r="B11">
        <f t="shared" si="0"/>
        <v>0.390625</v>
      </c>
      <c r="C11">
        <v>126400.5</v>
      </c>
      <c r="D11">
        <v>145304.70000000001</v>
      </c>
      <c r="E11">
        <v>157527.20000000001</v>
      </c>
      <c r="F11">
        <v>1545355.9</v>
      </c>
      <c r="G11">
        <v>1568621.1</v>
      </c>
      <c r="H11">
        <v>1345984.5</v>
      </c>
      <c r="I11">
        <v>1403678.6</v>
      </c>
      <c r="J11">
        <v>824559.6</v>
      </c>
      <c r="K11">
        <v>887848.1</v>
      </c>
      <c r="L11">
        <v>861448.9</v>
      </c>
      <c r="M11">
        <v>277463.59999999998</v>
      </c>
      <c r="N11">
        <v>208350.7</v>
      </c>
      <c r="O11">
        <v>238141.2</v>
      </c>
    </row>
    <row r="12" spans="1:15" x14ac:dyDescent="0.25">
      <c r="A12">
        <v>21</v>
      </c>
      <c r="B12">
        <f t="shared" si="0"/>
        <v>0.1953125</v>
      </c>
      <c r="C12">
        <v>103044.5</v>
      </c>
      <c r="D12">
        <v>127298</v>
      </c>
      <c r="E12">
        <v>133385.29999999999</v>
      </c>
      <c r="F12">
        <v>1590313.8</v>
      </c>
      <c r="G12">
        <v>2055341.8</v>
      </c>
      <c r="H12">
        <v>1462859.5</v>
      </c>
      <c r="I12">
        <v>1549228.8</v>
      </c>
      <c r="J12">
        <v>961427.6</v>
      </c>
      <c r="K12">
        <v>888740</v>
      </c>
      <c r="L12">
        <v>1200750.1000000001</v>
      </c>
      <c r="M12">
        <v>257997.1</v>
      </c>
      <c r="N12">
        <v>227078.8</v>
      </c>
      <c r="O12">
        <v>210918</v>
      </c>
    </row>
    <row r="13" spans="1:15" x14ac:dyDescent="0.25">
      <c r="A13">
        <v>21</v>
      </c>
      <c r="B13">
        <v>0</v>
      </c>
      <c r="C13">
        <v>91507.8</v>
      </c>
      <c r="D13">
        <v>106022.5</v>
      </c>
      <c r="E13">
        <v>98429</v>
      </c>
      <c r="F13">
        <v>1682507.3</v>
      </c>
      <c r="G13">
        <v>2019815.3</v>
      </c>
      <c r="H13">
        <v>1434567.9</v>
      </c>
      <c r="I13">
        <v>1709521.1</v>
      </c>
      <c r="J13">
        <v>1285985.3</v>
      </c>
      <c r="K13">
        <v>962373</v>
      </c>
      <c r="L13">
        <v>1032475.6</v>
      </c>
      <c r="M13">
        <v>231061.5</v>
      </c>
      <c r="N13">
        <v>256402.3</v>
      </c>
      <c r="O13">
        <v>193681.8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Butyrate</vt:lpstr>
      <vt:lpstr>Heme</vt:lpstr>
      <vt:lpstr>Lactate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Valeriia Kravchik</dc:creator>
  <cp:lastModifiedBy>Valeriia Kravchik</cp:lastModifiedBy>
  <dcterms:created xsi:type="dcterms:W3CDTF">2026-02-14T11:40:57Z</dcterms:created>
  <dcterms:modified xsi:type="dcterms:W3CDTF">2026-03-04T11:15:18Z</dcterms:modified>
</cp:coreProperties>
</file>